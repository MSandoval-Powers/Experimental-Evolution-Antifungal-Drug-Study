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m\Dropbox\EE Antifungal Drugs\Pilot work - Drug Doses\"/>
    </mc:Choice>
  </mc:AlternateContent>
  <xr:revisionPtr revIDLastSave="0" documentId="13_ncr:1_{0880F2E7-B10B-4E2D-B90D-915FD9ECAAF0}" xr6:coauthVersionLast="47" xr6:coauthVersionMax="47" xr10:uidLastSave="{00000000-0000-0000-0000-000000000000}"/>
  <bookViews>
    <workbookView xWindow="-120" yWindow="-120" windowWidth="38640" windowHeight="21120" activeTab="2" xr2:uid="{822E2A48-BB0C-4B09-96A3-46E27FE66220}"/>
  </bookViews>
  <sheets>
    <sheet name="CAS" sheetId="1" r:id="rId1"/>
    <sheet name="CLO" sheetId="2" r:id="rId2"/>
    <sheet name="CASCL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3" l="1"/>
  <c r="I6" i="3"/>
  <c r="I7" i="3"/>
  <c r="I8" i="3"/>
  <c r="I9" i="3"/>
  <c r="I10" i="3"/>
  <c r="I11" i="3"/>
  <c r="I12" i="3"/>
  <c r="I13" i="3"/>
  <c r="I14" i="3"/>
  <c r="I15" i="3"/>
  <c r="I16" i="3"/>
  <c r="E3" i="3"/>
  <c r="F3" i="3" s="1"/>
  <c r="E4" i="3"/>
  <c r="F4" i="3" s="1"/>
  <c r="E5" i="3"/>
  <c r="E6" i="3"/>
  <c r="F6" i="3" s="1"/>
  <c r="E7" i="3"/>
  <c r="F7" i="3" s="1"/>
  <c r="E8" i="3"/>
  <c r="F8" i="3" s="1"/>
  <c r="E9" i="3"/>
  <c r="F9" i="3" s="1"/>
  <c r="E10" i="3"/>
  <c r="F10" i="3" s="1"/>
  <c r="E11" i="3"/>
  <c r="F11" i="3" s="1"/>
  <c r="E12" i="3"/>
  <c r="F12" i="3" s="1"/>
  <c r="E13" i="3"/>
  <c r="F13" i="3" s="1"/>
  <c r="E14" i="3"/>
  <c r="F14" i="3" s="1"/>
  <c r="E15" i="3"/>
  <c r="F15" i="3" s="1"/>
  <c r="E16" i="3"/>
  <c r="F16" i="3" s="1"/>
  <c r="E2" i="3"/>
  <c r="F2" i="3" s="1"/>
  <c r="F5" i="3" l="1"/>
  <c r="I4" i="3"/>
  <c r="J13" i="3" s="1"/>
  <c r="I3" i="3"/>
  <c r="J3" i="3" s="1"/>
  <c r="I2" i="3"/>
  <c r="J2" i="3" s="1"/>
  <c r="J4" i="3" l="1"/>
  <c r="J16" i="3"/>
  <c r="J5" i="3"/>
  <c r="J7" i="3"/>
  <c r="J8" i="3"/>
  <c r="J9" i="3"/>
  <c r="J12" i="3"/>
  <c r="J15" i="3"/>
  <c r="J6" i="3"/>
  <c r="J10" i="3"/>
  <c r="J11" i="3"/>
  <c r="J14" i="3"/>
  <c r="I2" i="2"/>
  <c r="I3" i="2"/>
  <c r="I4" i="2"/>
  <c r="I5" i="2"/>
  <c r="J5" i="2" s="1"/>
  <c r="I6" i="2"/>
  <c r="I7" i="2"/>
  <c r="I14" i="2"/>
  <c r="I15" i="2"/>
  <c r="I16" i="2"/>
  <c r="I17" i="2"/>
  <c r="I18" i="2"/>
  <c r="I19" i="2"/>
  <c r="I9" i="2"/>
  <c r="I10" i="2"/>
  <c r="I11" i="2"/>
  <c r="I12" i="2"/>
  <c r="I13" i="2"/>
  <c r="J13" i="2" s="1"/>
  <c r="I8" i="2"/>
  <c r="J12" i="2" l="1"/>
  <c r="J10" i="2"/>
  <c r="J11" i="2"/>
  <c r="J9" i="2"/>
  <c r="J8" i="2"/>
  <c r="J18" i="2"/>
  <c r="J17" i="2"/>
  <c r="J2" i="2"/>
  <c r="J4" i="2"/>
  <c r="J6" i="2"/>
  <c r="J15" i="2"/>
  <c r="J16" i="2"/>
  <c r="J19" i="2"/>
  <c r="J3" i="2"/>
  <c r="J7" i="2"/>
  <c r="J14" i="2"/>
  <c r="E17" i="2"/>
  <c r="I16" i="1" l="1"/>
  <c r="I15" i="1"/>
  <c r="I14" i="1"/>
  <c r="I13" i="1"/>
  <c r="I12" i="1"/>
  <c r="I11" i="1"/>
  <c r="I10" i="1"/>
  <c r="I9" i="1"/>
  <c r="I8" i="1"/>
  <c r="I7" i="1"/>
  <c r="I6" i="1"/>
  <c r="I5" i="1"/>
  <c r="I4" i="1"/>
  <c r="J4" i="1" s="1"/>
  <c r="I3" i="1"/>
  <c r="J3" i="1" s="1"/>
  <c r="I2" i="1"/>
  <c r="J2" i="1" s="1"/>
  <c r="E19" i="2"/>
  <c r="E18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F4" i="2" s="1"/>
  <c r="E3" i="2"/>
  <c r="F3" i="2" s="1"/>
  <c r="E2" i="2"/>
  <c r="F2" i="2" s="1"/>
  <c r="F7" i="1"/>
  <c r="F5" i="1"/>
  <c r="F3" i="1"/>
  <c r="F4" i="1"/>
  <c r="F2" i="1"/>
  <c r="E2" i="1"/>
  <c r="E3" i="1"/>
  <c r="E4" i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6" i="1"/>
  <c r="F6" i="1" s="1"/>
  <c r="E7" i="1"/>
  <c r="E5" i="1"/>
  <c r="F13" i="2" l="1"/>
  <c r="F6" i="2"/>
  <c r="F9" i="2"/>
  <c r="F11" i="2"/>
  <c r="F14" i="2"/>
  <c r="F18" i="2"/>
  <c r="F5" i="2"/>
  <c r="F8" i="2"/>
  <c r="F16" i="2"/>
  <c r="F7" i="2"/>
  <c r="F10" i="2"/>
  <c r="F12" i="2"/>
  <c r="F15" i="2"/>
  <c r="F19" i="2"/>
  <c r="F17" i="2"/>
  <c r="J10" i="1"/>
  <c r="J7" i="1"/>
  <c r="J13" i="1"/>
  <c r="J11" i="1"/>
  <c r="J14" i="1"/>
  <c r="J16" i="1"/>
  <c r="J15" i="1"/>
  <c r="J9" i="1"/>
  <c r="J6" i="1"/>
  <c r="J12" i="1"/>
  <c r="J8" i="1"/>
  <c r="J5" i="1"/>
</calcChain>
</file>

<file path=xl/sharedStrings.xml><?xml version="1.0" encoding="utf-8"?>
<sst xmlns="http://schemas.openxmlformats.org/spreadsheetml/2006/main" count="156" uniqueCount="26">
  <si>
    <t>Name</t>
  </si>
  <si>
    <t>Dose</t>
  </si>
  <si>
    <t>CAS_rep01</t>
  </si>
  <si>
    <t>CAS_rep02</t>
  </si>
  <si>
    <t>CAS_rep03</t>
  </si>
  <si>
    <t>CLO_rep01</t>
  </si>
  <si>
    <t>CLO_rep02</t>
  </si>
  <si>
    <t>CLO_rep03</t>
  </si>
  <si>
    <t>CASCLO_rep01</t>
  </si>
  <si>
    <t>CASCLO_rep02</t>
  </si>
  <si>
    <t>CASCLO_rep03</t>
  </si>
  <si>
    <t>OD600 at 24 hr (raw)</t>
  </si>
  <si>
    <t>OD600 at 24 hr (actual)</t>
  </si>
  <si>
    <t>Relative OD600 at 24 hr (% of control)</t>
  </si>
  <si>
    <t>Dilution factor at 24 hr</t>
  </si>
  <si>
    <t>Dilution factor at 48 hr</t>
  </si>
  <si>
    <t>OD600 at 48 hr (raw)</t>
  </si>
  <si>
    <t>OD600 at 48 hr (actual)</t>
  </si>
  <si>
    <t>Relative OD600 at 48 hr (% of control)</t>
  </si>
  <si>
    <t>Data formatted for R plotting:</t>
  </si>
  <si>
    <t>Relative_OD_24hr</t>
  </si>
  <si>
    <t>Relative_OD_48hr</t>
  </si>
  <si>
    <t>0.035+0.35</t>
  </si>
  <si>
    <t>0.035+0.75</t>
  </si>
  <si>
    <t>0.0525+0.525</t>
  </si>
  <si>
    <t>0.0525+1.125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</si>
</sst>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E9455-13A2-40F9-A645-B6B1509CCCE2}">
  <dimension ref="A1:J31"/>
  <sheetViews>
    <sheetView workbookViewId="0">
      <selection activeCell="A19" sqref="A19:D31"/>
    </sheetView>
  </sheetViews>
  <sheetFormatPr defaultRowHeight="15" x14ac:dyDescent="0.25"/>
  <cols>
    <col min="1" max="1" width="17.140625" customWidth="1"/>
    <col min="3" max="3" width="21.28515625" customWidth="1"/>
    <col min="4" max="4" width="20.140625" customWidth="1"/>
    <col min="5" max="5" width="22.85546875" customWidth="1"/>
    <col min="6" max="6" width="34" style="1" customWidth="1"/>
    <col min="7" max="7" width="22.85546875" customWidth="1"/>
    <col min="8" max="8" width="22" customWidth="1"/>
    <col min="9" max="9" width="22.140625" customWidth="1"/>
    <col min="10" max="10" width="35.7109375" customWidth="1"/>
  </cols>
  <sheetData>
    <row r="1" spans="1:10" x14ac:dyDescent="0.25">
      <c r="A1" t="s">
        <v>0</v>
      </c>
      <c r="B1" s="1" t="s">
        <v>1</v>
      </c>
      <c r="C1" s="1" t="s">
        <v>14</v>
      </c>
      <c r="D1" s="1" t="s">
        <v>11</v>
      </c>
      <c r="E1" s="1" t="s">
        <v>12</v>
      </c>
      <c r="F1" s="1" t="s">
        <v>13</v>
      </c>
      <c r="G1" s="1" t="s">
        <v>15</v>
      </c>
      <c r="H1" s="1" t="s">
        <v>16</v>
      </c>
      <c r="I1" s="1" t="s">
        <v>17</v>
      </c>
      <c r="J1" s="1" t="s">
        <v>18</v>
      </c>
    </row>
    <row r="2" spans="1:10" x14ac:dyDescent="0.25">
      <c r="A2" t="s">
        <v>2</v>
      </c>
      <c r="B2" s="1">
        <v>0</v>
      </c>
      <c r="C2" s="1">
        <v>100</v>
      </c>
      <c r="D2" s="1">
        <v>0.217</v>
      </c>
      <c r="E2" s="1">
        <f t="shared" ref="E2:E4" si="0">D2*C2</f>
        <v>21.7</v>
      </c>
      <c r="F2" s="2">
        <f>(E2/E2)*100</f>
        <v>100</v>
      </c>
      <c r="G2" s="1">
        <v>100</v>
      </c>
      <c r="H2" s="1">
        <v>0.218</v>
      </c>
      <c r="I2" s="1">
        <f t="shared" ref="I2:I4" si="1">H2*G2</f>
        <v>21.8</v>
      </c>
      <c r="J2" s="2">
        <f>(I2/I2)*100</f>
        <v>100</v>
      </c>
    </row>
    <row r="3" spans="1:10" x14ac:dyDescent="0.25">
      <c r="A3" t="s">
        <v>3</v>
      </c>
      <c r="B3" s="1">
        <v>0</v>
      </c>
      <c r="C3" s="1">
        <v>100</v>
      </c>
      <c r="D3" s="1">
        <v>0.20100000000000001</v>
      </c>
      <c r="E3" s="1">
        <f t="shared" si="0"/>
        <v>20.100000000000001</v>
      </c>
      <c r="F3" s="2">
        <f t="shared" ref="F3:F4" si="2">(E3/E3)*100</f>
        <v>100</v>
      </c>
      <c r="G3" s="1">
        <v>100</v>
      </c>
      <c r="H3" s="1">
        <v>0.21</v>
      </c>
      <c r="I3" s="1">
        <f t="shared" si="1"/>
        <v>21</v>
      </c>
      <c r="J3" s="2">
        <f t="shared" ref="J3:J4" si="3">(I3/I3)*100</f>
        <v>100</v>
      </c>
    </row>
    <row r="4" spans="1:10" x14ac:dyDescent="0.25">
      <c r="A4" t="s">
        <v>4</v>
      </c>
      <c r="B4" s="1">
        <v>0</v>
      </c>
      <c r="C4" s="1">
        <v>100</v>
      </c>
      <c r="D4" s="1">
        <v>0.21299999999999999</v>
      </c>
      <c r="E4" s="1">
        <f t="shared" si="0"/>
        <v>21.3</v>
      </c>
      <c r="F4" s="2">
        <f t="shared" si="2"/>
        <v>100</v>
      </c>
      <c r="G4" s="1">
        <v>100</v>
      </c>
      <c r="H4" s="1">
        <v>0.223</v>
      </c>
      <c r="I4" s="1">
        <f t="shared" si="1"/>
        <v>22.3</v>
      </c>
      <c r="J4" s="2">
        <f t="shared" si="3"/>
        <v>100</v>
      </c>
    </row>
    <row r="5" spans="1:10" x14ac:dyDescent="0.25">
      <c r="A5" t="s">
        <v>2</v>
      </c>
      <c r="B5" s="1">
        <v>2.5000000000000001E-2</v>
      </c>
      <c r="C5" s="1">
        <v>100</v>
      </c>
      <c r="D5" s="1">
        <v>0.155</v>
      </c>
      <c r="E5" s="1">
        <f>D5*C5</f>
        <v>15.5</v>
      </c>
      <c r="F5" s="2">
        <f>(E5/E2)*100</f>
        <v>71.428571428571431</v>
      </c>
      <c r="G5" s="1">
        <v>100</v>
      </c>
      <c r="H5" s="1">
        <v>0.192</v>
      </c>
      <c r="I5" s="1">
        <f>H5*G5</f>
        <v>19.2</v>
      </c>
      <c r="J5" s="2">
        <f>(I5/I2)*100</f>
        <v>88.073394495412842</v>
      </c>
    </row>
    <row r="6" spans="1:10" x14ac:dyDescent="0.25">
      <c r="A6" t="s">
        <v>3</v>
      </c>
      <c r="B6" s="1">
        <v>2.5000000000000001E-2</v>
      </c>
      <c r="C6" s="1">
        <v>100</v>
      </c>
      <c r="D6" s="1">
        <v>0.16</v>
      </c>
      <c r="E6" s="1">
        <f t="shared" ref="E6:E16" si="4">D6*C6</f>
        <v>16</v>
      </c>
      <c r="F6" s="2">
        <f t="shared" ref="F6" si="5">(E6/E3)*100</f>
        <v>79.601990049751237</v>
      </c>
      <c r="G6" s="1">
        <v>100</v>
      </c>
      <c r="H6" s="1">
        <v>0.188</v>
      </c>
      <c r="I6" s="1">
        <f t="shared" ref="I6:I16" si="6">H6*G6</f>
        <v>18.8</v>
      </c>
      <c r="J6" s="2">
        <f t="shared" ref="J6" si="7">(I6/I3)*100</f>
        <v>89.523809523809533</v>
      </c>
    </row>
    <row r="7" spans="1:10" x14ac:dyDescent="0.25">
      <c r="A7" t="s">
        <v>4</v>
      </c>
      <c r="B7" s="1">
        <v>2.5000000000000001E-2</v>
      </c>
      <c r="C7" s="1">
        <v>100</v>
      </c>
      <c r="D7" s="1">
        <v>0.16900000000000001</v>
      </c>
      <c r="E7" s="1">
        <f t="shared" si="4"/>
        <v>16.900000000000002</v>
      </c>
      <c r="F7" s="2">
        <f>(E7/E4)*100</f>
        <v>79.342723004694847</v>
      </c>
      <c r="G7" s="1">
        <v>100</v>
      </c>
      <c r="H7" s="1">
        <v>0.193</v>
      </c>
      <c r="I7" s="1">
        <f t="shared" si="6"/>
        <v>19.3</v>
      </c>
      <c r="J7" s="2">
        <f>(I7/I4)*100</f>
        <v>86.54708520179372</v>
      </c>
    </row>
    <row r="8" spans="1:10" x14ac:dyDescent="0.25">
      <c r="A8" t="s">
        <v>2</v>
      </c>
      <c r="B8" s="1">
        <v>3.5000000000000003E-2</v>
      </c>
      <c r="C8" s="1">
        <v>100</v>
      </c>
      <c r="D8" s="1">
        <v>0.11700000000000001</v>
      </c>
      <c r="E8" s="1">
        <f t="shared" si="4"/>
        <v>11.700000000000001</v>
      </c>
      <c r="F8" s="2">
        <f>(E8/E2)*100</f>
        <v>53.917050691244249</v>
      </c>
      <c r="G8" s="1">
        <v>100</v>
      </c>
      <c r="H8" s="1">
        <v>0.156</v>
      </c>
      <c r="I8" s="1">
        <f t="shared" si="6"/>
        <v>15.6</v>
      </c>
      <c r="J8" s="2">
        <f>(I8/I2)*100</f>
        <v>71.559633027522935</v>
      </c>
    </row>
    <row r="9" spans="1:10" x14ac:dyDescent="0.25">
      <c r="A9" t="s">
        <v>3</v>
      </c>
      <c r="B9" s="1">
        <v>3.5000000000000003E-2</v>
      </c>
      <c r="C9" s="1">
        <v>100</v>
      </c>
      <c r="D9" s="1">
        <v>0.10100000000000001</v>
      </c>
      <c r="E9" s="1">
        <f t="shared" si="4"/>
        <v>10.100000000000001</v>
      </c>
      <c r="F9" s="2">
        <f t="shared" ref="F9:F10" si="8">(E9/E3)*100</f>
        <v>50.248756218905477</v>
      </c>
      <c r="G9" s="1">
        <v>100</v>
      </c>
      <c r="H9" s="1">
        <v>0.152</v>
      </c>
      <c r="I9" s="1">
        <f t="shared" si="6"/>
        <v>15.2</v>
      </c>
      <c r="J9" s="2">
        <f t="shared" ref="J9:J10" si="9">(I9/I3)*100</f>
        <v>72.38095238095238</v>
      </c>
    </row>
    <row r="10" spans="1:10" x14ac:dyDescent="0.25">
      <c r="A10" t="s">
        <v>4</v>
      </c>
      <c r="B10" s="1">
        <v>3.5000000000000003E-2</v>
      </c>
      <c r="C10" s="1">
        <v>100</v>
      </c>
      <c r="D10" s="1">
        <v>0.11600000000000001</v>
      </c>
      <c r="E10" s="1">
        <f t="shared" si="4"/>
        <v>11.600000000000001</v>
      </c>
      <c r="F10" s="2">
        <f t="shared" si="8"/>
        <v>54.460093896713623</v>
      </c>
      <c r="G10" s="1">
        <v>100</v>
      </c>
      <c r="H10" s="1">
        <v>0.16900000000000001</v>
      </c>
      <c r="I10" s="1">
        <f t="shared" si="6"/>
        <v>16.900000000000002</v>
      </c>
      <c r="J10" s="2">
        <f t="shared" si="9"/>
        <v>75.784753363228702</v>
      </c>
    </row>
    <row r="11" spans="1:10" x14ac:dyDescent="0.25">
      <c r="A11" t="s">
        <v>2</v>
      </c>
      <c r="B11" s="1">
        <v>5.2499999999999998E-2</v>
      </c>
      <c r="C11" s="1">
        <v>100</v>
      </c>
      <c r="D11" s="1">
        <v>7.5999999999999998E-2</v>
      </c>
      <c r="E11" s="1">
        <f t="shared" si="4"/>
        <v>7.6</v>
      </c>
      <c r="F11" s="2">
        <f>(E11/E2)*100</f>
        <v>35.023041474654377</v>
      </c>
      <c r="G11" s="1">
        <v>100</v>
      </c>
      <c r="H11" s="1">
        <v>0.13900000000000001</v>
      </c>
      <c r="I11" s="1">
        <f t="shared" si="6"/>
        <v>13.900000000000002</v>
      </c>
      <c r="J11" s="2">
        <f>(I11/I2)*100</f>
        <v>63.761467889908261</v>
      </c>
    </row>
    <row r="12" spans="1:10" x14ac:dyDescent="0.25">
      <c r="A12" t="s">
        <v>3</v>
      </c>
      <c r="B12" s="1">
        <v>5.2499999999999998E-2</v>
      </c>
      <c r="C12" s="1">
        <v>100</v>
      </c>
      <c r="D12" s="1">
        <v>0.105</v>
      </c>
      <c r="E12" s="1">
        <f t="shared" si="4"/>
        <v>10.5</v>
      </c>
      <c r="F12" s="2">
        <f t="shared" ref="F12:F13" si="10">(E12/E3)*100</f>
        <v>52.238805970149251</v>
      </c>
      <c r="G12" s="1">
        <v>100</v>
      </c>
      <c r="H12" s="1">
        <v>0.14399999999999999</v>
      </c>
      <c r="I12" s="1">
        <f t="shared" si="6"/>
        <v>14.399999999999999</v>
      </c>
      <c r="J12" s="2">
        <f t="shared" ref="J12:J13" si="11">(I12/I3)*100</f>
        <v>68.571428571428555</v>
      </c>
    </row>
    <row r="13" spans="1:10" x14ac:dyDescent="0.25">
      <c r="A13" t="s">
        <v>4</v>
      </c>
      <c r="B13" s="1">
        <v>5.2499999999999998E-2</v>
      </c>
      <c r="C13" s="1">
        <v>100</v>
      </c>
      <c r="D13" s="1">
        <v>9.8000000000000004E-2</v>
      </c>
      <c r="E13" s="1">
        <f t="shared" si="4"/>
        <v>9.8000000000000007</v>
      </c>
      <c r="F13" s="2">
        <f t="shared" si="10"/>
        <v>46.009389671361504</v>
      </c>
      <c r="G13" s="1">
        <v>100</v>
      </c>
      <c r="H13" s="1">
        <v>0.13600000000000001</v>
      </c>
      <c r="I13" s="1">
        <f t="shared" si="6"/>
        <v>13.600000000000001</v>
      </c>
      <c r="J13" s="2">
        <f t="shared" si="11"/>
        <v>60.986547085201806</v>
      </c>
    </row>
    <row r="14" spans="1:10" x14ac:dyDescent="0.25">
      <c r="A14" t="s">
        <v>2</v>
      </c>
      <c r="B14" s="1">
        <v>7.0000000000000007E-2</v>
      </c>
      <c r="C14" s="1">
        <v>10</v>
      </c>
      <c r="D14" s="1">
        <v>7.2999999999999995E-2</v>
      </c>
      <c r="E14" s="1">
        <f t="shared" si="4"/>
        <v>0.73</v>
      </c>
      <c r="F14" s="2">
        <f>(E14/E2)*100</f>
        <v>3.3640552995391704</v>
      </c>
      <c r="G14" s="1">
        <v>100</v>
      </c>
      <c r="H14" s="1">
        <v>0.123</v>
      </c>
      <c r="I14" s="1">
        <f t="shared" si="6"/>
        <v>12.3</v>
      </c>
      <c r="J14" s="2">
        <f>(I14/I2)*100</f>
        <v>56.422018348623858</v>
      </c>
    </row>
    <row r="15" spans="1:10" x14ac:dyDescent="0.25">
      <c r="A15" t="s">
        <v>3</v>
      </c>
      <c r="B15" s="1">
        <v>7.0000000000000007E-2</v>
      </c>
      <c r="C15" s="1">
        <v>10</v>
      </c>
      <c r="D15" s="1">
        <v>8.6999999999999994E-2</v>
      </c>
      <c r="E15" s="1">
        <f t="shared" si="4"/>
        <v>0.86999999999999988</v>
      </c>
      <c r="F15" s="2">
        <f t="shared" ref="F15:F16" si="12">(E15/E3)*100</f>
        <v>4.3283582089552226</v>
      </c>
      <c r="G15" s="1">
        <v>100</v>
      </c>
      <c r="H15" s="1">
        <v>0.106</v>
      </c>
      <c r="I15" s="1">
        <f t="shared" si="6"/>
        <v>10.6</v>
      </c>
      <c r="J15" s="2">
        <f t="shared" ref="J15:J16" si="13">(I15/I3)*100</f>
        <v>50.476190476190474</v>
      </c>
    </row>
    <row r="16" spans="1:10" x14ac:dyDescent="0.25">
      <c r="A16" t="s">
        <v>4</v>
      </c>
      <c r="B16" s="1">
        <v>7.0000000000000007E-2</v>
      </c>
      <c r="C16" s="1">
        <v>10</v>
      </c>
      <c r="D16" s="1">
        <v>8.1000000000000003E-2</v>
      </c>
      <c r="E16" s="1">
        <f t="shared" si="4"/>
        <v>0.81</v>
      </c>
      <c r="F16" s="2">
        <f t="shared" si="12"/>
        <v>3.8028169014084505</v>
      </c>
      <c r="G16" s="1">
        <v>100</v>
      </c>
      <c r="H16" s="1">
        <v>9.5000000000000001E-2</v>
      </c>
      <c r="I16" s="1">
        <f t="shared" si="6"/>
        <v>9.5</v>
      </c>
      <c r="J16" s="2">
        <f t="shared" si="13"/>
        <v>42.600896860986545</v>
      </c>
    </row>
    <row r="18" spans="1:4" x14ac:dyDescent="0.25">
      <c r="A18" t="s">
        <v>19</v>
      </c>
    </row>
    <row r="19" spans="1:4" x14ac:dyDescent="0.25">
      <c r="A19" s="1" t="s">
        <v>0</v>
      </c>
      <c r="B19" s="1" t="s">
        <v>1</v>
      </c>
      <c r="C19" s="1" t="s">
        <v>20</v>
      </c>
      <c r="D19" s="1" t="s">
        <v>21</v>
      </c>
    </row>
    <row r="20" spans="1:4" x14ac:dyDescent="0.25">
      <c r="A20" t="s">
        <v>2</v>
      </c>
      <c r="B20" s="1">
        <v>2.5000000000000001E-2</v>
      </c>
      <c r="C20" s="1">
        <v>71.428571428571431</v>
      </c>
      <c r="D20" s="1">
        <v>88.073394495412842</v>
      </c>
    </row>
    <row r="21" spans="1:4" x14ac:dyDescent="0.25">
      <c r="A21" t="s">
        <v>3</v>
      </c>
      <c r="B21" s="1">
        <v>2.5000000000000001E-2</v>
      </c>
      <c r="C21" s="1">
        <v>79.601990049751237</v>
      </c>
      <c r="D21" s="1">
        <v>89.523809523809533</v>
      </c>
    </row>
    <row r="22" spans="1:4" x14ac:dyDescent="0.25">
      <c r="A22" t="s">
        <v>4</v>
      </c>
      <c r="B22" s="1">
        <v>2.5000000000000001E-2</v>
      </c>
      <c r="C22" s="1">
        <v>79.342723004694847</v>
      </c>
      <c r="D22" s="1">
        <v>86.54708520179372</v>
      </c>
    </row>
    <row r="23" spans="1:4" x14ac:dyDescent="0.25">
      <c r="A23" t="s">
        <v>2</v>
      </c>
      <c r="B23" s="1">
        <v>3.5000000000000003E-2</v>
      </c>
      <c r="C23" s="1">
        <v>53.917050691244249</v>
      </c>
      <c r="D23" s="1">
        <v>71.559633027522935</v>
      </c>
    </row>
    <row r="24" spans="1:4" x14ac:dyDescent="0.25">
      <c r="A24" t="s">
        <v>3</v>
      </c>
      <c r="B24" s="1">
        <v>3.5000000000000003E-2</v>
      </c>
      <c r="C24" s="1">
        <v>50.248756218905477</v>
      </c>
      <c r="D24" s="1">
        <v>72.38095238095238</v>
      </c>
    </row>
    <row r="25" spans="1:4" x14ac:dyDescent="0.25">
      <c r="A25" t="s">
        <v>4</v>
      </c>
      <c r="B25" s="1">
        <v>3.5000000000000003E-2</v>
      </c>
      <c r="C25" s="1">
        <v>54.460093896713623</v>
      </c>
      <c r="D25" s="1">
        <v>75.784753363228702</v>
      </c>
    </row>
    <row r="26" spans="1:4" x14ac:dyDescent="0.25">
      <c r="A26" t="s">
        <v>2</v>
      </c>
      <c r="B26" s="1">
        <v>5.2499999999999998E-2</v>
      </c>
      <c r="C26" s="1">
        <v>35.023041474654377</v>
      </c>
      <c r="D26" s="1">
        <v>63.761467889908261</v>
      </c>
    </row>
    <row r="27" spans="1:4" x14ac:dyDescent="0.25">
      <c r="A27" t="s">
        <v>3</v>
      </c>
      <c r="B27" s="1">
        <v>5.2499999999999998E-2</v>
      </c>
      <c r="C27" s="1">
        <v>52.238805970149251</v>
      </c>
      <c r="D27" s="1">
        <v>68.571428571428555</v>
      </c>
    </row>
    <row r="28" spans="1:4" x14ac:dyDescent="0.25">
      <c r="A28" t="s">
        <v>4</v>
      </c>
      <c r="B28" s="1">
        <v>5.2499999999999998E-2</v>
      </c>
      <c r="C28" s="1">
        <v>46.009389671361504</v>
      </c>
      <c r="D28" s="1">
        <v>60.986547085201806</v>
      </c>
    </row>
    <row r="29" spans="1:4" x14ac:dyDescent="0.25">
      <c r="A29" t="s">
        <v>2</v>
      </c>
      <c r="B29" s="1">
        <v>7.0000000000000007E-2</v>
      </c>
      <c r="C29" s="1">
        <v>3.3640552995391704</v>
      </c>
      <c r="D29" s="1">
        <v>56.422018348623858</v>
      </c>
    </row>
    <row r="30" spans="1:4" x14ac:dyDescent="0.25">
      <c r="A30" t="s">
        <v>3</v>
      </c>
      <c r="B30" s="1">
        <v>7.0000000000000007E-2</v>
      </c>
      <c r="C30" s="1">
        <v>4.3283582089552226</v>
      </c>
      <c r="D30" s="1">
        <v>50.476190476190474</v>
      </c>
    </row>
    <row r="31" spans="1:4" x14ac:dyDescent="0.25">
      <c r="A31" t="s">
        <v>4</v>
      </c>
      <c r="B31" s="1">
        <v>7.0000000000000007E-2</v>
      </c>
      <c r="C31" s="1">
        <v>3.8028169014084505</v>
      </c>
      <c r="D31" s="1">
        <v>42.600896860986545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5E45D-02BE-4DB0-9168-14F53BFEB2EE}">
  <dimension ref="A1:J37"/>
  <sheetViews>
    <sheetView workbookViewId="0">
      <selection activeCell="A23" sqref="A23:D37"/>
    </sheetView>
  </sheetViews>
  <sheetFormatPr defaultRowHeight="15" x14ac:dyDescent="0.25"/>
  <cols>
    <col min="1" max="1" width="25.85546875" customWidth="1"/>
    <col min="3" max="3" width="23.28515625" customWidth="1"/>
    <col min="4" max="5" width="27.140625" customWidth="1"/>
    <col min="6" max="6" width="46" style="1" customWidth="1"/>
    <col min="7" max="7" width="27.85546875" customWidth="1"/>
    <col min="8" max="8" width="39" customWidth="1"/>
    <col min="10" max="10" width="22.85546875" customWidth="1"/>
  </cols>
  <sheetData>
    <row r="1" spans="1:10" x14ac:dyDescent="0.25">
      <c r="A1" t="s">
        <v>0</v>
      </c>
      <c r="B1" s="1" t="s">
        <v>1</v>
      </c>
      <c r="C1" s="1" t="s">
        <v>14</v>
      </c>
      <c r="D1" s="1" t="s">
        <v>11</v>
      </c>
      <c r="E1" s="1" t="s">
        <v>12</v>
      </c>
      <c r="F1" s="1" t="s">
        <v>13</v>
      </c>
      <c r="G1" s="1" t="s">
        <v>15</v>
      </c>
      <c r="H1" s="1" t="s">
        <v>16</v>
      </c>
      <c r="I1" s="1" t="s">
        <v>17</v>
      </c>
      <c r="J1" s="1" t="s">
        <v>18</v>
      </c>
    </row>
    <row r="2" spans="1:10" x14ac:dyDescent="0.25">
      <c r="A2" t="s">
        <v>5</v>
      </c>
      <c r="B2" s="1">
        <v>0</v>
      </c>
      <c r="C2" s="1">
        <v>100</v>
      </c>
      <c r="D2" s="1">
        <v>0.19500000000000001</v>
      </c>
      <c r="E2" s="1">
        <f>D2*C2</f>
        <v>19.5</v>
      </c>
      <c r="F2" s="1">
        <f>(E2/E2)*100</f>
        <v>100</v>
      </c>
      <c r="G2" s="1">
        <v>100</v>
      </c>
      <c r="H2" s="1">
        <v>0.23</v>
      </c>
      <c r="I2" s="1">
        <f t="shared" ref="I2:I7" si="0">H2*G2</f>
        <v>23</v>
      </c>
      <c r="J2" s="1">
        <f>(I2/I2)*100</f>
        <v>100</v>
      </c>
    </row>
    <row r="3" spans="1:10" x14ac:dyDescent="0.25">
      <c r="A3" t="s">
        <v>6</v>
      </c>
      <c r="B3" s="1">
        <v>0</v>
      </c>
      <c r="C3" s="1">
        <v>100</v>
      </c>
      <c r="D3" s="1">
        <v>0.19400000000000001</v>
      </c>
      <c r="E3" s="1">
        <f t="shared" ref="E3:E7" si="1">D3*C3</f>
        <v>19.400000000000002</v>
      </c>
      <c r="F3" s="1">
        <f t="shared" ref="F3:F4" si="2">(E3/E3)*100</f>
        <v>100</v>
      </c>
      <c r="G3" s="1">
        <v>100</v>
      </c>
      <c r="H3" s="1">
        <v>0.23699999999999999</v>
      </c>
      <c r="I3" s="1">
        <f t="shared" si="0"/>
        <v>23.7</v>
      </c>
      <c r="J3" s="1">
        <f t="shared" ref="J3:J4" si="3">(I3/I3)*100</f>
        <v>100</v>
      </c>
    </row>
    <row r="4" spans="1:10" x14ac:dyDescent="0.25">
      <c r="A4" t="s">
        <v>7</v>
      </c>
      <c r="B4" s="1">
        <v>0</v>
      </c>
      <c r="C4" s="1">
        <v>100</v>
      </c>
      <c r="D4" s="1">
        <v>0.21299999999999999</v>
      </c>
      <c r="E4" s="1">
        <f t="shared" si="1"/>
        <v>21.3</v>
      </c>
      <c r="F4" s="1">
        <f t="shared" si="2"/>
        <v>100</v>
      </c>
      <c r="G4" s="1">
        <v>100</v>
      </c>
      <c r="H4" s="1">
        <v>0.24299999999999999</v>
      </c>
      <c r="I4" s="1">
        <f t="shared" si="0"/>
        <v>24.3</v>
      </c>
      <c r="J4" s="1">
        <f t="shared" si="3"/>
        <v>100</v>
      </c>
    </row>
    <row r="5" spans="1:10" x14ac:dyDescent="0.25">
      <c r="A5" t="s">
        <v>5</v>
      </c>
      <c r="B5" s="1">
        <v>0.25</v>
      </c>
      <c r="C5" s="1">
        <v>100</v>
      </c>
      <c r="D5" s="1">
        <v>0.158</v>
      </c>
      <c r="E5" s="1">
        <f t="shared" si="1"/>
        <v>15.8</v>
      </c>
      <c r="F5" s="1">
        <f>(E5/E2)*100</f>
        <v>81.025641025641022</v>
      </c>
      <c r="G5" s="1">
        <v>100</v>
      </c>
      <c r="H5" s="1">
        <v>0.20300000000000001</v>
      </c>
      <c r="I5" s="1">
        <f t="shared" si="0"/>
        <v>20.3</v>
      </c>
      <c r="J5" s="1">
        <f>(I5/I2)*100</f>
        <v>88.260869565217391</v>
      </c>
    </row>
    <row r="6" spans="1:10" x14ac:dyDescent="0.25">
      <c r="A6" t="s">
        <v>6</v>
      </c>
      <c r="B6" s="1">
        <v>0.25</v>
      </c>
      <c r="C6" s="1">
        <v>100</v>
      </c>
      <c r="D6" s="1">
        <v>0.151</v>
      </c>
      <c r="E6" s="1">
        <f t="shared" si="1"/>
        <v>15.1</v>
      </c>
      <c r="F6" s="1">
        <f t="shared" ref="F6:F7" si="4">(E6/E3)*100</f>
        <v>77.835051546391739</v>
      </c>
      <c r="G6" s="1">
        <v>100</v>
      </c>
      <c r="H6" s="1">
        <v>0.214</v>
      </c>
      <c r="I6" s="1">
        <f t="shared" si="0"/>
        <v>21.4</v>
      </c>
      <c r="J6" s="1">
        <f t="shared" ref="J6:J7" si="5">(I6/I3)*100</f>
        <v>90.295358649789023</v>
      </c>
    </row>
    <row r="7" spans="1:10" x14ac:dyDescent="0.25">
      <c r="A7" t="s">
        <v>7</v>
      </c>
      <c r="B7" s="1">
        <v>0.25</v>
      </c>
      <c r="C7" s="1">
        <v>100</v>
      </c>
      <c r="D7" s="1">
        <v>0.16800000000000001</v>
      </c>
      <c r="E7" s="1">
        <f t="shared" si="1"/>
        <v>16.8</v>
      </c>
      <c r="F7" s="1">
        <f t="shared" si="4"/>
        <v>78.873239436619727</v>
      </c>
      <c r="G7" s="1">
        <v>100</v>
      </c>
      <c r="H7" s="1">
        <v>0.219</v>
      </c>
      <c r="I7" s="1">
        <f t="shared" si="0"/>
        <v>21.9</v>
      </c>
      <c r="J7" s="1">
        <f t="shared" si="5"/>
        <v>90.123456790123441</v>
      </c>
    </row>
    <row r="8" spans="1:10" x14ac:dyDescent="0.25">
      <c r="A8" t="s">
        <v>5</v>
      </c>
      <c r="B8" s="1">
        <v>0.35</v>
      </c>
      <c r="C8" s="1">
        <v>100</v>
      </c>
      <c r="D8" s="1">
        <v>0.124</v>
      </c>
      <c r="E8" s="1">
        <f>D8*C8</f>
        <v>12.4</v>
      </c>
      <c r="F8" s="1">
        <f>(E8/E2)*100</f>
        <v>63.589743589743598</v>
      </c>
      <c r="G8" s="1">
        <v>100</v>
      </c>
      <c r="H8" s="1">
        <v>0.222</v>
      </c>
      <c r="I8" s="1">
        <f>H8*G8</f>
        <v>22.2</v>
      </c>
      <c r="J8" s="1">
        <f>(I8/I2)*100</f>
        <v>96.521739130434781</v>
      </c>
    </row>
    <row r="9" spans="1:10" x14ac:dyDescent="0.25">
      <c r="A9" t="s">
        <v>6</v>
      </c>
      <c r="B9" s="1">
        <v>0.35</v>
      </c>
      <c r="C9" s="1">
        <v>100</v>
      </c>
      <c r="D9" s="1">
        <v>0.13400000000000001</v>
      </c>
      <c r="E9" s="1">
        <f t="shared" ref="E9:E19" si="6">D9*C9</f>
        <v>13.4</v>
      </c>
      <c r="F9" s="1">
        <f t="shared" ref="F9:F10" si="7">(E9/E3)*100</f>
        <v>69.072164948453604</v>
      </c>
      <c r="G9" s="1">
        <v>100</v>
      </c>
      <c r="H9" s="1">
        <v>0.224</v>
      </c>
      <c r="I9" s="1">
        <f t="shared" ref="I9:I19" si="8">H9*G9</f>
        <v>22.400000000000002</v>
      </c>
      <c r="J9" s="1">
        <f>(I9/I3)*100</f>
        <v>94.514767932489463</v>
      </c>
    </row>
    <row r="10" spans="1:10" x14ac:dyDescent="0.25">
      <c r="A10" t="s">
        <v>7</v>
      </c>
      <c r="B10" s="1">
        <v>0.35</v>
      </c>
      <c r="C10" s="1">
        <v>100</v>
      </c>
      <c r="D10" s="1">
        <v>0.13600000000000001</v>
      </c>
      <c r="E10" s="1">
        <f t="shared" si="6"/>
        <v>13.600000000000001</v>
      </c>
      <c r="F10" s="1">
        <f t="shared" si="7"/>
        <v>63.84976525821596</v>
      </c>
      <c r="G10" s="1">
        <v>100</v>
      </c>
      <c r="H10" s="1">
        <v>0.218</v>
      </c>
      <c r="I10" s="1">
        <f t="shared" si="8"/>
        <v>21.8</v>
      </c>
      <c r="J10" s="1">
        <f>(I10/I4)*100</f>
        <v>89.711934156378604</v>
      </c>
    </row>
    <row r="11" spans="1:10" x14ac:dyDescent="0.25">
      <c r="A11" t="s">
        <v>5</v>
      </c>
      <c r="B11" s="1">
        <v>0.75</v>
      </c>
      <c r="C11" s="1">
        <v>100</v>
      </c>
      <c r="D11" s="1">
        <v>0.1</v>
      </c>
      <c r="E11" s="1">
        <f t="shared" si="6"/>
        <v>10</v>
      </c>
      <c r="F11" s="1">
        <f>(E11/E2)*100</f>
        <v>51.282051282051277</v>
      </c>
      <c r="G11" s="1">
        <v>100</v>
      </c>
      <c r="H11" s="1">
        <v>0.17100000000000001</v>
      </c>
      <c r="I11" s="1">
        <f t="shared" si="8"/>
        <v>17.100000000000001</v>
      </c>
      <c r="J11" s="1">
        <f>(I11/I2)*100</f>
        <v>74.34782608695653</v>
      </c>
    </row>
    <row r="12" spans="1:10" x14ac:dyDescent="0.25">
      <c r="A12" t="s">
        <v>6</v>
      </c>
      <c r="B12" s="1">
        <v>0.75</v>
      </c>
      <c r="C12" s="1">
        <v>100</v>
      </c>
      <c r="D12" s="1">
        <v>0.10199999999999999</v>
      </c>
      <c r="E12" s="1">
        <f t="shared" si="6"/>
        <v>10.199999999999999</v>
      </c>
      <c r="F12" s="1">
        <f t="shared" ref="F12:F13" si="9">(E12/E3)*100</f>
        <v>52.577319587628857</v>
      </c>
      <c r="G12" s="1">
        <v>100</v>
      </c>
      <c r="H12" s="1">
        <v>0.14799999999999999</v>
      </c>
      <c r="I12" s="1">
        <f t="shared" si="8"/>
        <v>14.799999999999999</v>
      </c>
      <c r="J12" s="1">
        <f>(I12/I3)*100</f>
        <v>62.447257383966239</v>
      </c>
    </row>
    <row r="13" spans="1:10" x14ac:dyDescent="0.25">
      <c r="A13" t="s">
        <v>7</v>
      </c>
      <c r="B13" s="1">
        <v>0.75</v>
      </c>
      <c r="C13" s="1">
        <v>100</v>
      </c>
      <c r="D13" s="1">
        <v>0.10199999999999999</v>
      </c>
      <c r="E13" s="1">
        <f t="shared" si="6"/>
        <v>10.199999999999999</v>
      </c>
      <c r="F13" s="1">
        <f t="shared" si="9"/>
        <v>47.887323943661968</v>
      </c>
      <c r="G13" s="1">
        <v>100</v>
      </c>
      <c r="H13" s="1">
        <v>0.156</v>
      </c>
      <c r="I13" s="1">
        <f t="shared" si="8"/>
        <v>15.6</v>
      </c>
      <c r="J13" s="1">
        <f>(I13/I4)*100</f>
        <v>64.197530864197532</v>
      </c>
    </row>
    <row r="14" spans="1:10" x14ac:dyDescent="0.25">
      <c r="A14" t="s">
        <v>5</v>
      </c>
      <c r="B14" s="1">
        <v>1.125</v>
      </c>
      <c r="C14" s="1">
        <v>100</v>
      </c>
      <c r="D14" s="1">
        <v>9.7000000000000003E-2</v>
      </c>
      <c r="E14" s="1">
        <f>D14*C14</f>
        <v>9.7000000000000011</v>
      </c>
      <c r="F14" s="1">
        <f>(E14/E2)*100</f>
        <v>49.743589743589752</v>
      </c>
      <c r="G14" s="1">
        <v>100</v>
      </c>
      <c r="H14" s="1">
        <v>0.126</v>
      </c>
      <c r="I14" s="1">
        <f>H14*G14</f>
        <v>12.6</v>
      </c>
      <c r="J14" s="1">
        <f>(I14/I2)*100</f>
        <v>54.782608695652172</v>
      </c>
    </row>
    <row r="15" spans="1:10" x14ac:dyDescent="0.25">
      <c r="A15" t="s">
        <v>6</v>
      </c>
      <c r="B15" s="1">
        <v>1.125</v>
      </c>
      <c r="C15" s="1">
        <v>100</v>
      </c>
      <c r="D15" s="1">
        <v>9.7000000000000003E-2</v>
      </c>
      <c r="E15" s="1">
        <f t="shared" si="6"/>
        <v>9.7000000000000011</v>
      </c>
      <c r="F15" s="1">
        <f t="shared" ref="F15:F16" si="10">(E15/E3)*100</f>
        <v>50</v>
      </c>
      <c r="G15" s="1">
        <v>100</v>
      </c>
      <c r="H15" s="1">
        <v>0.126</v>
      </c>
      <c r="I15" s="1">
        <f t="shared" si="8"/>
        <v>12.6</v>
      </c>
      <c r="J15" s="1">
        <f t="shared" ref="J15:J16" si="11">(I15/I3)*100</f>
        <v>53.164556962025308</v>
      </c>
    </row>
    <row r="16" spans="1:10" x14ac:dyDescent="0.25">
      <c r="A16" t="s">
        <v>7</v>
      </c>
      <c r="B16" s="1">
        <v>1.125</v>
      </c>
      <c r="C16" s="1">
        <v>100</v>
      </c>
      <c r="D16" s="1">
        <v>7.5999999999999998E-2</v>
      </c>
      <c r="E16" s="1">
        <f t="shared" si="6"/>
        <v>7.6</v>
      </c>
      <c r="F16" s="1">
        <f t="shared" si="10"/>
        <v>35.68075117370892</v>
      </c>
      <c r="G16" s="1">
        <v>100</v>
      </c>
      <c r="H16" s="1">
        <v>0.123</v>
      </c>
      <c r="I16" s="1">
        <f t="shared" si="8"/>
        <v>12.3</v>
      </c>
      <c r="J16" s="1">
        <f t="shared" si="11"/>
        <v>50.617283950617285</v>
      </c>
    </row>
    <row r="17" spans="1:10" x14ac:dyDescent="0.25">
      <c r="A17" t="s">
        <v>5</v>
      </c>
      <c r="B17" s="1">
        <v>3</v>
      </c>
      <c r="C17" s="1">
        <v>100</v>
      </c>
      <c r="D17" s="1">
        <v>6.0999999999999999E-2</v>
      </c>
      <c r="E17" s="1">
        <f>D17*C17</f>
        <v>6.1</v>
      </c>
      <c r="F17" s="1">
        <f>(E17/E2)*100</f>
        <v>31.282051282051281</v>
      </c>
      <c r="G17" s="1">
        <v>100</v>
      </c>
      <c r="H17" s="1">
        <v>0.121</v>
      </c>
      <c r="I17" s="1">
        <f t="shared" si="8"/>
        <v>12.1</v>
      </c>
      <c r="J17" s="1">
        <f>(I17/I2)*100</f>
        <v>52.608695652173907</v>
      </c>
    </row>
    <row r="18" spans="1:10" x14ac:dyDescent="0.25">
      <c r="A18" t="s">
        <v>6</v>
      </c>
      <c r="B18" s="1">
        <v>3</v>
      </c>
      <c r="C18" s="1">
        <v>100</v>
      </c>
      <c r="D18" s="1">
        <v>7.5999999999999998E-2</v>
      </c>
      <c r="E18" s="1">
        <f t="shared" si="6"/>
        <v>7.6</v>
      </c>
      <c r="F18" s="1">
        <f t="shared" ref="F18:F19" si="12">(E18/E3)*100</f>
        <v>39.175257731958759</v>
      </c>
      <c r="G18" s="1">
        <v>100</v>
      </c>
      <c r="H18" s="1">
        <v>0.11700000000000001</v>
      </c>
      <c r="I18" s="1">
        <f t="shared" si="8"/>
        <v>11.700000000000001</v>
      </c>
      <c r="J18" s="1">
        <f t="shared" ref="J18:J19" si="13">(I18/I3)*100</f>
        <v>49.367088607594944</v>
      </c>
    </row>
    <row r="19" spans="1:10" x14ac:dyDescent="0.25">
      <c r="A19" t="s">
        <v>7</v>
      </c>
      <c r="B19" s="1">
        <v>3</v>
      </c>
      <c r="C19" s="1">
        <v>100</v>
      </c>
      <c r="D19" s="1">
        <v>7.2999999999999995E-2</v>
      </c>
      <c r="E19" s="1">
        <f t="shared" si="6"/>
        <v>7.3</v>
      </c>
      <c r="F19" s="1">
        <f t="shared" si="12"/>
        <v>34.272300469483568</v>
      </c>
      <c r="G19" s="1">
        <v>100</v>
      </c>
      <c r="H19" s="1">
        <v>0.122</v>
      </c>
      <c r="I19" s="1">
        <f t="shared" si="8"/>
        <v>12.2</v>
      </c>
      <c r="J19" s="1">
        <f t="shared" si="13"/>
        <v>50.205761316872419</v>
      </c>
    </row>
    <row r="21" spans="1:10" x14ac:dyDescent="0.25">
      <c r="A21" t="s">
        <v>19</v>
      </c>
    </row>
    <row r="22" spans="1:10" x14ac:dyDescent="0.25">
      <c r="A22" s="1" t="s">
        <v>0</v>
      </c>
      <c r="B22" s="1" t="s">
        <v>1</v>
      </c>
      <c r="C22" s="1" t="s">
        <v>20</v>
      </c>
      <c r="D22" s="1" t="s">
        <v>21</v>
      </c>
    </row>
    <row r="23" spans="1:10" x14ac:dyDescent="0.25">
      <c r="A23" t="s">
        <v>5</v>
      </c>
      <c r="B23" s="1">
        <v>0.25</v>
      </c>
      <c r="C23" s="1">
        <v>81.025641025641022</v>
      </c>
      <c r="D23" s="1">
        <v>88.260869565217391</v>
      </c>
    </row>
    <row r="24" spans="1:10" x14ac:dyDescent="0.25">
      <c r="A24" t="s">
        <v>6</v>
      </c>
      <c r="B24" s="1">
        <v>0.25</v>
      </c>
      <c r="C24" s="1">
        <v>77.835051546391739</v>
      </c>
      <c r="D24" s="1">
        <v>90.295358649789023</v>
      </c>
    </row>
    <row r="25" spans="1:10" x14ac:dyDescent="0.25">
      <c r="A25" t="s">
        <v>7</v>
      </c>
      <c r="B25" s="1">
        <v>0.25</v>
      </c>
      <c r="C25" s="1">
        <v>78.873239436619727</v>
      </c>
      <c r="D25" s="1">
        <v>90.123456790123441</v>
      </c>
    </row>
    <row r="26" spans="1:10" x14ac:dyDescent="0.25">
      <c r="A26" t="s">
        <v>5</v>
      </c>
      <c r="B26" s="1">
        <v>0.35</v>
      </c>
      <c r="C26" s="1">
        <v>63.589743589743598</v>
      </c>
      <c r="D26" s="1">
        <v>96.521739130434781</v>
      </c>
    </row>
    <row r="27" spans="1:10" x14ac:dyDescent="0.25">
      <c r="A27" t="s">
        <v>6</v>
      </c>
      <c r="B27" s="1">
        <v>0.35</v>
      </c>
      <c r="C27" s="1">
        <v>69.072164948453604</v>
      </c>
      <c r="D27" s="1">
        <v>94.514767932489463</v>
      </c>
    </row>
    <row r="28" spans="1:10" x14ac:dyDescent="0.25">
      <c r="A28" t="s">
        <v>7</v>
      </c>
      <c r="B28" s="1">
        <v>0.35</v>
      </c>
      <c r="C28" s="1">
        <v>63.84976525821596</v>
      </c>
      <c r="D28" s="1">
        <v>89.711934156378604</v>
      </c>
    </row>
    <row r="29" spans="1:10" x14ac:dyDescent="0.25">
      <c r="A29" t="s">
        <v>5</v>
      </c>
      <c r="B29" s="1">
        <v>0.75</v>
      </c>
      <c r="C29" s="1">
        <v>51.282051282051277</v>
      </c>
      <c r="D29" s="1">
        <v>74.34782608695653</v>
      </c>
    </row>
    <row r="30" spans="1:10" x14ac:dyDescent="0.25">
      <c r="A30" t="s">
        <v>6</v>
      </c>
      <c r="B30" s="1">
        <v>0.75</v>
      </c>
      <c r="C30" s="1">
        <v>52.577319587628857</v>
      </c>
      <c r="D30" s="1">
        <v>62.447257383966239</v>
      </c>
    </row>
    <row r="31" spans="1:10" x14ac:dyDescent="0.25">
      <c r="A31" t="s">
        <v>7</v>
      </c>
      <c r="B31" s="1">
        <v>0.75</v>
      </c>
      <c r="C31" s="1">
        <v>47.887323943661968</v>
      </c>
      <c r="D31" s="1">
        <v>64.197530864197532</v>
      </c>
    </row>
    <row r="32" spans="1:10" x14ac:dyDescent="0.25">
      <c r="A32" t="s">
        <v>5</v>
      </c>
      <c r="B32" s="1">
        <v>1.125</v>
      </c>
      <c r="C32" s="1">
        <v>49.743589743589752</v>
      </c>
      <c r="D32" s="1">
        <v>54.782608695652172</v>
      </c>
    </row>
    <row r="33" spans="1:4" x14ac:dyDescent="0.25">
      <c r="A33" t="s">
        <v>6</v>
      </c>
      <c r="B33" s="1">
        <v>1.125</v>
      </c>
      <c r="C33" s="1">
        <v>50</v>
      </c>
      <c r="D33" s="1">
        <v>53.164556962025308</v>
      </c>
    </row>
    <row r="34" spans="1:4" x14ac:dyDescent="0.25">
      <c r="A34" t="s">
        <v>7</v>
      </c>
      <c r="B34" s="1">
        <v>1.125</v>
      </c>
      <c r="C34" s="1">
        <v>35.68075117370892</v>
      </c>
      <c r="D34" s="1">
        <v>50.617283950617285</v>
      </c>
    </row>
    <row r="35" spans="1:4" x14ac:dyDescent="0.25">
      <c r="A35" t="s">
        <v>5</v>
      </c>
      <c r="B35" s="1">
        <v>3</v>
      </c>
      <c r="C35" s="1">
        <v>31.282051282051281</v>
      </c>
      <c r="D35" s="1">
        <v>52.608695652173907</v>
      </c>
    </row>
    <row r="36" spans="1:4" x14ac:dyDescent="0.25">
      <c r="A36" t="s">
        <v>6</v>
      </c>
      <c r="B36" s="1">
        <v>3</v>
      </c>
      <c r="C36" s="1">
        <v>39.175257731958759</v>
      </c>
      <c r="D36" s="1">
        <v>49.367088607594944</v>
      </c>
    </row>
    <row r="37" spans="1:4" x14ac:dyDescent="0.25">
      <c r="A37" t="s">
        <v>7</v>
      </c>
      <c r="B37" s="1">
        <v>3</v>
      </c>
      <c r="C37" s="1">
        <v>34.272300469483568</v>
      </c>
      <c r="D37" s="1">
        <v>50.205761316872419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8D870-91A3-4B63-8FEA-8E4BF60350F5}">
  <dimension ref="A1:J34"/>
  <sheetViews>
    <sheetView tabSelected="1" workbookViewId="0">
      <selection activeCell="F24" sqref="F24"/>
    </sheetView>
  </sheetViews>
  <sheetFormatPr defaultRowHeight="15" x14ac:dyDescent="0.25"/>
  <cols>
    <col min="1" max="1" width="25.85546875" customWidth="1"/>
    <col min="3" max="3" width="15.7109375" customWidth="1"/>
    <col min="4" max="4" width="13" customWidth="1"/>
    <col min="5" max="5" width="26.140625" customWidth="1"/>
    <col min="6" max="6" width="36.28515625" style="1" customWidth="1"/>
    <col min="9" max="9" width="30.5703125" customWidth="1"/>
  </cols>
  <sheetData>
    <row r="1" spans="1:10" x14ac:dyDescent="0.25">
      <c r="A1" t="s">
        <v>0</v>
      </c>
      <c r="B1" s="1" t="s">
        <v>1</v>
      </c>
      <c r="C1" s="1" t="s">
        <v>14</v>
      </c>
      <c r="D1" s="1" t="s">
        <v>11</v>
      </c>
      <c r="E1" s="1" t="s">
        <v>12</v>
      </c>
      <c r="F1" s="1" t="s">
        <v>13</v>
      </c>
      <c r="G1" s="1" t="s">
        <v>15</v>
      </c>
      <c r="H1" s="1" t="s">
        <v>16</v>
      </c>
      <c r="I1" s="1" t="s">
        <v>17</v>
      </c>
      <c r="J1" s="1" t="s">
        <v>18</v>
      </c>
    </row>
    <row r="2" spans="1:10" x14ac:dyDescent="0.25">
      <c r="A2" t="s">
        <v>8</v>
      </c>
      <c r="B2" s="1">
        <v>0</v>
      </c>
      <c r="C2" s="1">
        <v>100</v>
      </c>
      <c r="D2" s="1">
        <v>0.217</v>
      </c>
      <c r="E2" s="1">
        <f>D2*C2</f>
        <v>21.7</v>
      </c>
      <c r="F2" s="1">
        <f>(E2/E2)*100</f>
        <v>100</v>
      </c>
      <c r="G2" s="1">
        <v>100</v>
      </c>
      <c r="H2" s="1">
        <v>0.224</v>
      </c>
      <c r="I2" s="1">
        <f t="shared" ref="I2:I16" si="0">H2*G2</f>
        <v>22.400000000000002</v>
      </c>
      <c r="J2" s="1">
        <f>(I2/I2)*100</f>
        <v>100</v>
      </c>
    </row>
    <row r="3" spans="1:10" x14ac:dyDescent="0.25">
      <c r="A3" t="s">
        <v>9</v>
      </c>
      <c r="B3" s="1">
        <v>0</v>
      </c>
      <c r="C3" s="1">
        <v>100</v>
      </c>
      <c r="D3" s="1">
        <v>0.20100000000000001</v>
      </c>
      <c r="E3" s="1">
        <f t="shared" ref="E3:E16" si="1">D3*C3</f>
        <v>20.100000000000001</v>
      </c>
      <c r="F3" s="1">
        <f t="shared" ref="F3:F4" si="2">(E3/E3)*100</f>
        <v>100</v>
      </c>
      <c r="G3" s="1">
        <v>100</v>
      </c>
      <c r="H3" s="1">
        <v>0.23100000000000001</v>
      </c>
      <c r="I3" s="1">
        <f t="shared" si="0"/>
        <v>23.1</v>
      </c>
      <c r="J3" s="1">
        <f t="shared" ref="J3:J4" si="3">(I3/I3)*100</f>
        <v>100</v>
      </c>
    </row>
    <row r="4" spans="1:10" x14ac:dyDescent="0.25">
      <c r="A4" t="s">
        <v>10</v>
      </c>
      <c r="B4" s="1">
        <v>0</v>
      </c>
      <c r="C4" s="1">
        <v>100</v>
      </c>
      <c r="D4" s="1">
        <v>0.21299999999999999</v>
      </c>
      <c r="E4" s="1">
        <f t="shared" si="1"/>
        <v>21.3</v>
      </c>
      <c r="F4" s="1">
        <f t="shared" si="2"/>
        <v>100</v>
      </c>
      <c r="G4" s="1">
        <v>100</v>
      </c>
      <c r="H4" s="1">
        <v>0.23300000000000001</v>
      </c>
      <c r="I4" s="1">
        <f t="shared" si="0"/>
        <v>23.3</v>
      </c>
      <c r="J4" s="1">
        <f t="shared" si="3"/>
        <v>100</v>
      </c>
    </row>
    <row r="5" spans="1:10" x14ac:dyDescent="0.25">
      <c r="A5" t="s">
        <v>8</v>
      </c>
      <c r="B5" s="1" t="s">
        <v>22</v>
      </c>
      <c r="C5" s="1">
        <v>100</v>
      </c>
      <c r="D5" s="1">
        <v>2.5000000000000001E-2</v>
      </c>
      <c r="E5" s="1">
        <f t="shared" si="1"/>
        <v>2.5</v>
      </c>
      <c r="F5" s="1">
        <f>(E5/E2)*100</f>
        <v>11.52073732718894</v>
      </c>
      <c r="G5" s="1">
        <v>100</v>
      </c>
      <c r="H5" s="1">
        <v>0.11</v>
      </c>
      <c r="I5" s="1">
        <f t="shared" si="0"/>
        <v>11</v>
      </c>
      <c r="J5" s="1">
        <f>(I5/I2)*100</f>
        <v>49.107142857142854</v>
      </c>
    </row>
    <row r="6" spans="1:10" x14ac:dyDescent="0.25">
      <c r="A6" t="s">
        <v>9</v>
      </c>
      <c r="B6" s="1" t="s">
        <v>22</v>
      </c>
      <c r="C6" s="1">
        <v>100</v>
      </c>
      <c r="D6" s="1">
        <v>3.5999999999999997E-2</v>
      </c>
      <c r="E6" s="1">
        <f t="shared" si="1"/>
        <v>3.5999999999999996</v>
      </c>
      <c r="F6" s="1">
        <f>(E6/E3)*100</f>
        <v>17.910447761194025</v>
      </c>
      <c r="G6" s="1">
        <v>100</v>
      </c>
      <c r="H6" s="1">
        <v>0.15</v>
      </c>
      <c r="I6" s="1">
        <f t="shared" si="0"/>
        <v>15</v>
      </c>
      <c r="J6" s="1">
        <f t="shared" ref="J6:J7" si="4">(I6/I3)*100</f>
        <v>64.935064935064929</v>
      </c>
    </row>
    <row r="7" spans="1:10" x14ac:dyDescent="0.25">
      <c r="A7" t="s">
        <v>10</v>
      </c>
      <c r="B7" s="1" t="s">
        <v>22</v>
      </c>
      <c r="C7" s="1">
        <v>100</v>
      </c>
      <c r="D7" s="1">
        <v>4.8000000000000001E-2</v>
      </c>
      <c r="E7" s="1">
        <f t="shared" si="1"/>
        <v>4.8</v>
      </c>
      <c r="F7" s="1">
        <f>(E7/E4)*100</f>
        <v>22.535211267605632</v>
      </c>
      <c r="G7" s="1">
        <v>100</v>
      </c>
      <c r="H7" s="1">
        <v>0.16300000000000001</v>
      </c>
      <c r="I7" s="1">
        <f t="shared" si="0"/>
        <v>16.3</v>
      </c>
      <c r="J7" s="1">
        <f t="shared" si="4"/>
        <v>69.957081545064383</v>
      </c>
    </row>
    <row r="8" spans="1:10" x14ac:dyDescent="0.25">
      <c r="A8" t="s">
        <v>8</v>
      </c>
      <c r="B8" s="1" t="s">
        <v>23</v>
      </c>
      <c r="C8" s="1">
        <v>10</v>
      </c>
      <c r="D8" s="1">
        <v>0.02</v>
      </c>
      <c r="E8" s="1">
        <f t="shared" si="1"/>
        <v>0.2</v>
      </c>
      <c r="F8" s="1">
        <f>(E8/E2)*100</f>
        <v>0.92165898617511521</v>
      </c>
      <c r="G8" s="1">
        <v>10</v>
      </c>
      <c r="H8" s="1">
        <v>1.7000000000000001E-2</v>
      </c>
      <c r="I8" s="1">
        <f t="shared" si="0"/>
        <v>0.17</v>
      </c>
      <c r="J8" s="1">
        <f>(I8/I2)*100</f>
        <v>0.7589285714285714</v>
      </c>
    </row>
    <row r="9" spans="1:10" x14ac:dyDescent="0.25">
      <c r="A9" t="s">
        <v>9</v>
      </c>
      <c r="B9" s="1" t="s">
        <v>23</v>
      </c>
      <c r="C9" s="1">
        <v>10</v>
      </c>
      <c r="D9" s="1">
        <v>2.8000000000000001E-2</v>
      </c>
      <c r="E9" s="1">
        <f t="shared" si="1"/>
        <v>0.28000000000000003</v>
      </c>
      <c r="F9" s="1">
        <f t="shared" ref="F9:F10" si="5">(E9/E3)*100</f>
        <v>1.3930348258706469</v>
      </c>
      <c r="G9" s="1">
        <v>10</v>
      </c>
      <c r="H9" s="1">
        <v>2.3E-2</v>
      </c>
      <c r="I9" s="1">
        <f t="shared" si="0"/>
        <v>0.22999999999999998</v>
      </c>
      <c r="J9" s="1">
        <f t="shared" ref="J9:J10" si="6">(I9/I3)*100</f>
        <v>0.99567099567099548</v>
      </c>
    </row>
    <row r="10" spans="1:10" x14ac:dyDescent="0.25">
      <c r="A10" t="s">
        <v>10</v>
      </c>
      <c r="B10" s="1" t="s">
        <v>23</v>
      </c>
      <c r="C10" s="1">
        <v>10</v>
      </c>
      <c r="D10" s="1">
        <v>2.8000000000000001E-2</v>
      </c>
      <c r="E10" s="1">
        <f t="shared" si="1"/>
        <v>0.28000000000000003</v>
      </c>
      <c r="F10" s="1">
        <f t="shared" si="5"/>
        <v>1.3145539906103287</v>
      </c>
      <c r="G10" s="1">
        <v>10</v>
      </c>
      <c r="H10" s="1">
        <v>2.5999999999999999E-2</v>
      </c>
      <c r="I10" s="1">
        <f t="shared" si="0"/>
        <v>0.26</v>
      </c>
      <c r="J10" s="1">
        <f t="shared" si="6"/>
        <v>1.1158798283261802</v>
      </c>
    </row>
    <row r="11" spans="1:10" x14ac:dyDescent="0.25">
      <c r="A11" t="s">
        <v>8</v>
      </c>
      <c r="B11" s="1" t="s">
        <v>24</v>
      </c>
      <c r="C11" s="1">
        <v>10</v>
      </c>
      <c r="D11" s="1">
        <v>0.01</v>
      </c>
      <c r="E11" s="1">
        <f t="shared" si="1"/>
        <v>0.1</v>
      </c>
      <c r="F11" s="1">
        <f>(E11/E2)*100</f>
        <v>0.46082949308755761</v>
      </c>
      <c r="G11" s="1">
        <v>10</v>
      </c>
      <c r="H11" s="1">
        <v>1.2E-2</v>
      </c>
      <c r="I11" s="1">
        <f t="shared" si="0"/>
        <v>0.12</v>
      </c>
      <c r="J11" s="1">
        <f>(I11/I2)*100</f>
        <v>0.53571428571428559</v>
      </c>
    </row>
    <row r="12" spans="1:10" x14ac:dyDescent="0.25">
      <c r="A12" t="s">
        <v>9</v>
      </c>
      <c r="B12" s="1" t="s">
        <v>24</v>
      </c>
      <c r="C12" s="1">
        <v>10</v>
      </c>
      <c r="D12" s="1">
        <v>1.6E-2</v>
      </c>
      <c r="E12" s="1">
        <f t="shared" si="1"/>
        <v>0.16</v>
      </c>
      <c r="F12" s="1">
        <f t="shared" ref="F12:F13" si="7">(E12/E3)*100</f>
        <v>0.79601990049751237</v>
      </c>
      <c r="G12" s="1">
        <v>10</v>
      </c>
      <c r="H12" s="1">
        <v>1.6E-2</v>
      </c>
      <c r="I12" s="1">
        <f t="shared" si="0"/>
        <v>0.16</v>
      </c>
      <c r="J12" s="1">
        <f t="shared" ref="J12:J13" si="8">(I12/I3)*100</f>
        <v>0.69264069264069261</v>
      </c>
    </row>
    <row r="13" spans="1:10" x14ac:dyDescent="0.25">
      <c r="A13" t="s">
        <v>10</v>
      </c>
      <c r="B13" s="1" t="s">
        <v>24</v>
      </c>
      <c r="C13" s="1">
        <v>10</v>
      </c>
      <c r="D13" s="1">
        <v>1.6E-2</v>
      </c>
      <c r="E13" s="1">
        <f t="shared" si="1"/>
        <v>0.16</v>
      </c>
      <c r="F13" s="1">
        <f t="shared" si="7"/>
        <v>0.75117370892018775</v>
      </c>
      <c r="G13" s="1">
        <v>10</v>
      </c>
      <c r="H13" s="1">
        <v>1.2999999999999999E-2</v>
      </c>
      <c r="I13" s="1">
        <f t="shared" si="0"/>
        <v>0.13</v>
      </c>
      <c r="J13" s="1">
        <f t="shared" si="8"/>
        <v>0.55793991416309008</v>
      </c>
    </row>
    <row r="14" spans="1:10" x14ac:dyDescent="0.25">
      <c r="A14" t="s">
        <v>8</v>
      </c>
      <c r="B14" s="1" t="s">
        <v>25</v>
      </c>
      <c r="C14" s="1">
        <v>10</v>
      </c>
      <c r="D14" s="1">
        <v>1.2E-2</v>
      </c>
      <c r="E14" s="1">
        <f t="shared" si="1"/>
        <v>0.12</v>
      </c>
      <c r="F14" s="1">
        <f>(E14/E2)*100</f>
        <v>0.55299539170506917</v>
      </c>
      <c r="G14" s="1">
        <v>10</v>
      </c>
      <c r="H14" s="1">
        <v>8.0000000000000002E-3</v>
      </c>
      <c r="I14" s="1">
        <f t="shared" si="0"/>
        <v>0.08</v>
      </c>
      <c r="J14" s="1">
        <f>(I14/I2)*100</f>
        <v>0.35714285714285715</v>
      </c>
    </row>
    <row r="15" spans="1:10" x14ac:dyDescent="0.25">
      <c r="A15" t="s">
        <v>9</v>
      </c>
      <c r="B15" s="1" t="s">
        <v>25</v>
      </c>
      <c r="C15" s="1">
        <v>10</v>
      </c>
      <c r="D15" s="1">
        <v>0.01</v>
      </c>
      <c r="E15" s="1">
        <f t="shared" si="1"/>
        <v>0.1</v>
      </c>
      <c r="F15" s="1">
        <f t="shared" ref="F15:F16" si="9">(E15/E3)*100</f>
        <v>0.49751243781094528</v>
      </c>
      <c r="G15" s="1">
        <v>10</v>
      </c>
      <c r="H15" s="1">
        <v>2E-3</v>
      </c>
      <c r="I15" s="1">
        <f t="shared" si="0"/>
        <v>0.02</v>
      </c>
      <c r="J15" s="1">
        <f t="shared" ref="J15:J16" si="10">(I15/I3)*100</f>
        <v>8.6580086580086577E-2</v>
      </c>
    </row>
    <row r="16" spans="1:10" x14ac:dyDescent="0.25">
      <c r="A16" t="s">
        <v>10</v>
      </c>
      <c r="B16" s="1" t="s">
        <v>25</v>
      </c>
      <c r="C16" s="1">
        <v>10</v>
      </c>
      <c r="D16" s="1">
        <v>1.2999999999999999E-2</v>
      </c>
      <c r="E16" s="1">
        <f t="shared" si="1"/>
        <v>0.13</v>
      </c>
      <c r="F16" s="1">
        <f t="shared" si="9"/>
        <v>0.61032863849765262</v>
      </c>
      <c r="G16" s="1">
        <v>10</v>
      </c>
      <c r="H16" s="1">
        <v>5.0000000000000001E-3</v>
      </c>
      <c r="I16" s="1">
        <f t="shared" si="0"/>
        <v>0.05</v>
      </c>
      <c r="J16" s="1">
        <f t="shared" si="10"/>
        <v>0.21459227467811159</v>
      </c>
    </row>
    <row r="17" spans="1:10" x14ac:dyDescent="0.25">
      <c r="B17" s="1"/>
      <c r="C17" s="1"/>
      <c r="D17" s="1"/>
      <c r="E17" s="1"/>
      <c r="G17" s="1"/>
      <c r="H17" s="1"/>
      <c r="I17" s="1"/>
      <c r="J17" s="1"/>
    </row>
    <row r="18" spans="1:10" x14ac:dyDescent="0.25">
      <c r="A18" t="s">
        <v>19</v>
      </c>
    </row>
    <row r="19" spans="1:10" x14ac:dyDescent="0.25">
      <c r="A19" s="1" t="s">
        <v>0</v>
      </c>
      <c r="B19" s="1" t="s">
        <v>1</v>
      </c>
      <c r="C19" s="1" t="s">
        <v>20</v>
      </c>
      <c r="D19" s="1" t="s">
        <v>21</v>
      </c>
    </row>
    <row r="20" spans="1:10" x14ac:dyDescent="0.25">
      <c r="A20" t="s">
        <v>8</v>
      </c>
      <c r="B20" s="1" t="s">
        <v>22</v>
      </c>
      <c r="C20" s="1">
        <v>11.52073732718894</v>
      </c>
      <c r="D20" s="1">
        <v>49.107142857142854</v>
      </c>
    </row>
    <row r="21" spans="1:10" x14ac:dyDescent="0.25">
      <c r="A21" t="s">
        <v>9</v>
      </c>
      <c r="B21" s="1" t="s">
        <v>22</v>
      </c>
      <c r="C21" s="1">
        <v>17.910447761194025</v>
      </c>
      <c r="D21" s="1">
        <v>64.935064935064929</v>
      </c>
    </row>
    <row r="22" spans="1:10" x14ac:dyDescent="0.25">
      <c r="A22" t="s">
        <v>10</v>
      </c>
      <c r="B22" s="1" t="s">
        <v>22</v>
      </c>
      <c r="C22" s="1">
        <v>22.535211267605632</v>
      </c>
      <c r="D22" s="1">
        <v>69.957081545064383</v>
      </c>
    </row>
    <row r="23" spans="1:10" x14ac:dyDescent="0.25">
      <c r="A23" t="s">
        <v>8</v>
      </c>
      <c r="B23" s="1" t="s">
        <v>23</v>
      </c>
      <c r="C23" s="1">
        <v>0.92165898617511521</v>
      </c>
      <c r="D23" s="1">
        <v>0.7589285714285714</v>
      </c>
    </row>
    <row r="24" spans="1:10" x14ac:dyDescent="0.25">
      <c r="A24" t="s">
        <v>9</v>
      </c>
      <c r="B24" s="1" t="s">
        <v>23</v>
      </c>
      <c r="C24" s="1">
        <v>1.3930348258706469</v>
      </c>
      <c r="D24" s="1">
        <v>0.99567099567099548</v>
      </c>
    </row>
    <row r="25" spans="1:10" x14ac:dyDescent="0.25">
      <c r="A25" t="s">
        <v>10</v>
      </c>
      <c r="B25" s="1" t="s">
        <v>23</v>
      </c>
      <c r="C25" s="1">
        <v>1.3145539906103287</v>
      </c>
      <c r="D25" s="1">
        <v>1.1158798283261802</v>
      </c>
    </row>
    <row r="26" spans="1:10" x14ac:dyDescent="0.25">
      <c r="A26" t="s">
        <v>8</v>
      </c>
      <c r="B26" s="1" t="s">
        <v>24</v>
      </c>
      <c r="C26" s="1">
        <v>0.46082949308755761</v>
      </c>
      <c r="D26" s="1">
        <v>0.53571428571428559</v>
      </c>
    </row>
    <row r="27" spans="1:10" x14ac:dyDescent="0.25">
      <c r="A27" t="s">
        <v>9</v>
      </c>
      <c r="B27" s="1" t="s">
        <v>24</v>
      </c>
      <c r="C27" s="1">
        <v>0.79601990049751237</v>
      </c>
      <c r="D27" s="1">
        <v>0.69264069264069261</v>
      </c>
    </row>
    <row r="28" spans="1:10" x14ac:dyDescent="0.25">
      <c r="A28" t="s">
        <v>10</v>
      </c>
      <c r="B28" s="1" t="s">
        <v>24</v>
      </c>
      <c r="C28" s="1">
        <v>0.75117370892018775</v>
      </c>
      <c r="D28" s="1">
        <v>0.55793991416309008</v>
      </c>
    </row>
    <row r="29" spans="1:10" x14ac:dyDescent="0.25">
      <c r="A29" t="s">
        <v>8</v>
      </c>
      <c r="B29" s="1" t="s">
        <v>25</v>
      </c>
      <c r="C29" s="1">
        <v>0.55299539170506917</v>
      </c>
      <c r="D29" s="1">
        <v>0.35714285714285715</v>
      </c>
    </row>
    <row r="30" spans="1:10" x14ac:dyDescent="0.25">
      <c r="A30" t="s">
        <v>9</v>
      </c>
      <c r="B30" s="1" t="s">
        <v>25</v>
      </c>
      <c r="C30" s="1">
        <v>0.49751243781094528</v>
      </c>
      <c r="D30" s="1">
        <v>8.6580086580086577E-2</v>
      </c>
    </row>
    <row r="31" spans="1:10" x14ac:dyDescent="0.25">
      <c r="A31" t="s">
        <v>10</v>
      </c>
      <c r="B31" s="1" t="s">
        <v>25</v>
      </c>
      <c r="C31" s="1">
        <v>0.61032863849765262</v>
      </c>
      <c r="D31" s="1">
        <v>0.21459227467811159</v>
      </c>
    </row>
    <row r="32" spans="1:10" x14ac:dyDescent="0.25">
      <c r="B32" s="1"/>
      <c r="C32" s="1"/>
      <c r="D32" s="1"/>
    </row>
    <row r="33" spans="2:4" x14ac:dyDescent="0.25">
      <c r="B33" s="1"/>
      <c r="C33" s="1"/>
      <c r="D33" s="1"/>
    </row>
    <row r="34" spans="2:4" x14ac:dyDescent="0.25">
      <c r="B34" s="1"/>
      <c r="C34" s="1"/>
      <c r="D3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</vt:lpstr>
      <vt:lpstr>CLO</vt:lpstr>
      <vt:lpstr>CASCLO</vt:lpstr>
    </vt:vector>
  </TitlesOfParts>
  <Company>Oregon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Sandoval-Powers, Megan</dc:creator>
  <cp:lastModifiedBy>Megan Sandoval-Powers</cp:lastModifiedBy>
  <dcterms:created xsi:type="dcterms:W3CDTF">2026-02-24T20:05:56Z</dcterms:created>
  <dcterms:modified xsi:type="dcterms:W3CDTF">2026-02-25T21:32:15Z</dcterms:modified>
</cp:coreProperties>
</file>